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knobbe/Git/newdocs/AiDM/slides/Week 2 recommender systems/"/>
    </mc:Choice>
  </mc:AlternateContent>
  <xr:revisionPtr revIDLastSave="0" documentId="13_ncr:1_{25DEB2AC-4FAA-0C4B-9DAE-E0EC04599702}" xr6:coauthVersionLast="47" xr6:coauthVersionMax="47" xr10:uidLastSave="{00000000-0000-0000-0000-000000000000}"/>
  <bookViews>
    <workbookView xWindow="1960" yWindow="500" windowWidth="21760" windowHeight="15500" activeTab="1" xr2:uid="{D7856559-3F9A-0B41-BFC1-A8D8236A92C9}"/>
  </bookViews>
  <sheets>
    <sheet name="Start" sheetId="1" r:id="rId1"/>
    <sheet name="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C20" i="2"/>
  <c r="D20" i="2"/>
  <c r="E20" i="2"/>
  <c r="F20" i="2"/>
  <c r="B21" i="2"/>
  <c r="C21" i="2"/>
  <c r="D21" i="2"/>
  <c r="E21" i="2"/>
  <c r="F21" i="2"/>
  <c r="B19" i="2"/>
  <c r="C19" i="2"/>
  <c r="D19" i="2"/>
  <c r="E19" i="2"/>
  <c r="F19" i="2"/>
  <c r="B18" i="2"/>
  <c r="C18" i="2"/>
  <c r="D18" i="2"/>
  <c r="E18" i="2"/>
  <c r="F18" i="2"/>
  <c r="C17" i="2"/>
  <c r="D17" i="2"/>
  <c r="E17" i="2"/>
  <c r="F17" i="2"/>
  <c r="B17" i="2"/>
  <c r="C19" i="1"/>
  <c r="F21" i="1"/>
  <c r="B10" i="2" a="1"/>
  <c r="B10" i="1" a="1"/>
  <c r="B10" i="1" s="1"/>
  <c r="B17" i="1" s="1"/>
  <c r="D18" i="1" l="1"/>
  <c r="C18" i="1"/>
  <c r="B20" i="1"/>
  <c r="E20" i="1"/>
  <c r="E18" i="1"/>
  <c r="B19" i="1"/>
  <c r="D20" i="1"/>
  <c r="B18" i="1"/>
  <c r="C20" i="1"/>
  <c r="F17" i="1"/>
  <c r="E17" i="1"/>
  <c r="D17" i="1"/>
  <c r="F19" i="1"/>
  <c r="C17" i="1"/>
  <c r="E21" i="1"/>
  <c r="E19" i="1"/>
  <c r="D21" i="1"/>
  <c r="D19" i="1"/>
  <c r="C21" i="1"/>
  <c r="B21" i="1"/>
  <c r="F20" i="1"/>
  <c r="F18" i="1"/>
  <c r="B10" i="2"/>
  <c r="B23" i="1" l="1"/>
  <c r="B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<sst xmlns="http://schemas.openxmlformats.org/spreadsheetml/2006/main" count="60" uniqueCount="18">
  <si>
    <t>i1</t>
  </si>
  <si>
    <t>i2</t>
  </si>
  <si>
    <t>i3</t>
  </si>
  <si>
    <t>i4</t>
  </si>
  <si>
    <t>i5</t>
  </si>
  <si>
    <t>u1</t>
  </si>
  <si>
    <t>u2</t>
  </si>
  <si>
    <t>u3</t>
  </si>
  <si>
    <t>u4</t>
  </si>
  <si>
    <t>u5</t>
  </si>
  <si>
    <t>Utility Matrix</t>
  </si>
  <si>
    <t>U</t>
  </si>
  <si>
    <t>V</t>
  </si>
  <si>
    <t>U*V</t>
  </si>
  <si>
    <t>Squared error</t>
  </si>
  <si>
    <t>MSE:</t>
  </si>
  <si>
    <t>d1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</si>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</sst>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2" fontId="0" fillId="3" borderId="0" xfId="0" applyNumberFormat="1" applyFill="1"/>
    <xf numFmtId="0" fontId="0" fillId="4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6989-C9B0-EB45-8CCC-601A8168F880}">
  <dimension ref="A1:O23"/>
  <sheetViews>
    <sheetView zoomScale="140" zoomScaleNormal="140" workbookViewId="0">
      <selection activeCell="F21" sqref="F21"/>
    </sheetView>
  </sheetViews>
  <sheetFormatPr baseColWidth="10" defaultRowHeight="16" x14ac:dyDescent="0.2"/>
  <cols>
    <col min="2" max="2" width="6" customWidth="1"/>
    <col min="3" max="6" width="5" customWidth="1"/>
    <col min="8" max="9" width="5.6640625" customWidth="1"/>
    <col min="10" max="10" width="7.33203125" customWidth="1"/>
    <col min="11" max="15" width="4.33203125" customWidth="1"/>
  </cols>
  <sheetData>
    <row r="1" spans="1:15" x14ac:dyDescent="0.2">
      <c r="B1" s="7" t="s">
        <v>10</v>
      </c>
      <c r="C1" s="7"/>
      <c r="D1" s="7"/>
      <c r="E1" s="7"/>
      <c r="F1" s="7"/>
      <c r="H1" s="7" t="s">
        <v>11</v>
      </c>
      <c r="I1" s="7"/>
    </row>
    <row r="2" spans="1:15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2" t="s">
        <v>16</v>
      </c>
      <c r="I2" s="2" t="s">
        <v>17</v>
      </c>
      <c r="K2" s="7" t="s">
        <v>12</v>
      </c>
      <c r="L2" s="7"/>
      <c r="M2" s="7"/>
      <c r="N2" s="7"/>
      <c r="O2" s="7"/>
    </row>
    <row r="3" spans="1:15" x14ac:dyDescent="0.2">
      <c r="A3" s="4" t="s">
        <v>5</v>
      </c>
      <c r="B3" s="1">
        <v>5</v>
      </c>
      <c r="C3" s="1">
        <v>2</v>
      </c>
      <c r="D3" s="1">
        <v>4</v>
      </c>
      <c r="E3" s="1">
        <v>4</v>
      </c>
      <c r="F3" s="1">
        <v>3</v>
      </c>
      <c r="G3" s="4" t="s">
        <v>5</v>
      </c>
      <c r="H3" s="1">
        <v>1</v>
      </c>
      <c r="I3" s="1">
        <v>1</v>
      </c>
      <c r="K3" s="2" t="s">
        <v>0</v>
      </c>
      <c r="L3" s="2" t="s">
        <v>1</v>
      </c>
      <c r="M3" s="2" t="s">
        <v>2</v>
      </c>
      <c r="N3" s="2" t="s">
        <v>3</v>
      </c>
      <c r="O3" s="2" t="s">
        <v>4</v>
      </c>
    </row>
    <row r="4" spans="1:15" x14ac:dyDescent="0.2">
      <c r="A4" s="4" t="s">
        <v>6</v>
      </c>
      <c r="B4" s="1">
        <v>3</v>
      </c>
      <c r="C4" s="1">
        <v>1</v>
      </c>
      <c r="D4" s="1">
        <v>2</v>
      </c>
      <c r="E4" s="1">
        <v>4</v>
      </c>
      <c r="F4" s="1">
        <v>1</v>
      </c>
      <c r="G4" s="4" t="s">
        <v>6</v>
      </c>
      <c r="H4" s="1">
        <v>1</v>
      </c>
      <c r="I4" s="1">
        <v>1</v>
      </c>
      <c r="J4" s="4" t="s">
        <v>16</v>
      </c>
      <c r="K4" s="1">
        <v>1</v>
      </c>
      <c r="L4" s="1">
        <v>1</v>
      </c>
      <c r="M4" s="1">
        <v>1</v>
      </c>
      <c r="N4" s="1">
        <v>1</v>
      </c>
      <c r="O4" s="1">
        <v>1</v>
      </c>
    </row>
    <row r="5" spans="1:15" x14ac:dyDescent="0.2">
      <c r="A5" s="4" t="s">
        <v>7</v>
      </c>
      <c r="B5" s="1">
        <v>2</v>
      </c>
      <c r="C5" s="1"/>
      <c r="D5" s="1">
        <v>3</v>
      </c>
      <c r="E5" s="1">
        <v>1</v>
      </c>
      <c r="F5" s="1">
        <v>4</v>
      </c>
      <c r="G5" s="4" t="s">
        <v>7</v>
      </c>
      <c r="H5" s="1">
        <v>1</v>
      </c>
      <c r="I5" s="1">
        <v>1</v>
      </c>
      <c r="J5" s="4" t="s">
        <v>17</v>
      </c>
      <c r="K5" s="1">
        <v>1</v>
      </c>
      <c r="L5" s="1">
        <v>1</v>
      </c>
      <c r="M5" s="1">
        <v>1</v>
      </c>
      <c r="N5" s="1">
        <v>1</v>
      </c>
      <c r="O5" s="1">
        <v>1</v>
      </c>
    </row>
    <row r="6" spans="1:15" x14ac:dyDescent="0.2">
      <c r="A6" s="4" t="s">
        <v>8</v>
      </c>
      <c r="B6" s="1">
        <v>2</v>
      </c>
      <c r="C6" s="1">
        <v>5</v>
      </c>
      <c r="D6" s="1">
        <v>4</v>
      </c>
      <c r="E6" s="1">
        <v>3</v>
      </c>
      <c r="F6" s="1">
        <v>5</v>
      </c>
      <c r="G6" s="4" t="s">
        <v>8</v>
      </c>
      <c r="H6" s="1">
        <v>1</v>
      </c>
      <c r="I6" s="1">
        <v>1</v>
      </c>
    </row>
    <row r="7" spans="1:15" x14ac:dyDescent="0.2">
      <c r="A7" s="4" t="s">
        <v>9</v>
      </c>
      <c r="B7" s="1">
        <v>4</v>
      </c>
      <c r="C7" s="1">
        <v>4</v>
      </c>
      <c r="D7" s="1">
        <v>5</v>
      </c>
      <c r="E7" s="1">
        <v>4</v>
      </c>
      <c r="F7" s="1"/>
      <c r="G7" s="4" t="s">
        <v>9</v>
      </c>
      <c r="H7" s="1">
        <v>1</v>
      </c>
      <c r="I7" s="1">
        <v>1</v>
      </c>
    </row>
    <row r="9" spans="1:15" x14ac:dyDescent="0.2">
      <c r="B9" s="7" t="s">
        <v>13</v>
      </c>
      <c r="C9" s="7"/>
      <c r="D9" s="7"/>
      <c r="E9" s="7"/>
      <c r="F9" s="7"/>
    </row>
    <row r="10" spans="1:15" x14ac:dyDescent="0.2">
      <c r="B10" s="1" cm="1">
        <f t="array" ref="B10:F14">MMULT(H3:I7,K4:O5)</f>
        <v>2</v>
      </c>
      <c r="C10" s="1">
        <v>2</v>
      </c>
      <c r="D10" s="1">
        <v>2</v>
      </c>
      <c r="E10" s="1">
        <v>2</v>
      </c>
      <c r="F10" s="1">
        <v>2</v>
      </c>
    </row>
    <row r="11" spans="1:15" x14ac:dyDescent="0.2">
      <c r="B11" s="1">
        <v>2</v>
      </c>
      <c r="C11" s="1">
        <v>2</v>
      </c>
      <c r="D11" s="1">
        <v>2</v>
      </c>
      <c r="E11" s="1">
        <v>2</v>
      </c>
      <c r="F11" s="1">
        <v>2</v>
      </c>
    </row>
    <row r="12" spans="1:15" x14ac:dyDescent="0.2">
      <c r="B12" s="1">
        <v>2</v>
      </c>
      <c r="C12" s="6">
        <v>2</v>
      </c>
      <c r="D12" s="1">
        <v>2</v>
      </c>
      <c r="E12" s="1">
        <v>2</v>
      </c>
      <c r="F12" s="1">
        <v>2</v>
      </c>
    </row>
    <row r="13" spans="1:15" x14ac:dyDescent="0.2">
      <c r="B13" s="1">
        <v>2</v>
      </c>
      <c r="C13" s="1">
        <v>2</v>
      </c>
      <c r="D13" s="1">
        <v>2</v>
      </c>
      <c r="E13" s="1">
        <v>2</v>
      </c>
      <c r="F13" s="1">
        <v>2</v>
      </c>
    </row>
    <row r="14" spans="1:15" x14ac:dyDescent="0.2">
      <c r="B14" s="1">
        <v>2</v>
      </c>
      <c r="C14" s="1">
        <v>2</v>
      </c>
      <c r="D14" s="1">
        <v>2</v>
      </c>
      <c r="E14" s="1">
        <v>2</v>
      </c>
      <c r="F14" s="6">
        <v>2</v>
      </c>
    </row>
    <row r="16" spans="1:15" x14ac:dyDescent="0.2">
      <c r="B16" s="7" t="s">
        <v>14</v>
      </c>
      <c r="C16" s="7"/>
      <c r="D16" s="7"/>
      <c r="E16" s="7"/>
      <c r="F16" s="7"/>
    </row>
    <row r="17" spans="1:6" x14ac:dyDescent="0.2">
      <c r="B17" s="1">
        <f>IF(ISBLANK(B3), 0, (B3-B10)^2)</f>
        <v>9</v>
      </c>
      <c r="C17" s="1">
        <f t="shared" ref="C17:F17" si="0">IF(ISBLANK(C3), 0, (C3-C10)^2)</f>
        <v>0</v>
      </c>
      <c r="D17" s="1">
        <f t="shared" si="0"/>
        <v>4</v>
      </c>
      <c r="E17" s="1">
        <f t="shared" si="0"/>
        <v>4</v>
      </c>
      <c r="F17" s="1">
        <f t="shared" si="0"/>
        <v>1</v>
      </c>
    </row>
    <row r="18" spans="1:6" x14ac:dyDescent="0.2">
      <c r="B18" s="1">
        <f t="shared" ref="B18:F21" si="1">IF(ISBLANK(B4), 0, (B4-B11)^2)</f>
        <v>1</v>
      </c>
      <c r="C18" s="1">
        <f t="shared" si="1"/>
        <v>1</v>
      </c>
      <c r="D18" s="1">
        <f t="shared" si="1"/>
        <v>0</v>
      </c>
      <c r="E18" s="1">
        <f t="shared" si="1"/>
        <v>4</v>
      </c>
      <c r="F18" s="1">
        <f t="shared" si="1"/>
        <v>1</v>
      </c>
    </row>
    <row r="19" spans="1:6" x14ac:dyDescent="0.2">
      <c r="B19" s="1">
        <f t="shared" si="1"/>
        <v>0</v>
      </c>
      <c r="C19" s="6">
        <f t="shared" si="1"/>
        <v>0</v>
      </c>
      <c r="D19" s="1">
        <f t="shared" si="1"/>
        <v>1</v>
      </c>
      <c r="E19" s="1">
        <f t="shared" si="1"/>
        <v>1</v>
      </c>
      <c r="F19" s="1">
        <f t="shared" si="1"/>
        <v>4</v>
      </c>
    </row>
    <row r="20" spans="1:6" x14ac:dyDescent="0.2">
      <c r="B20" s="1">
        <f t="shared" si="1"/>
        <v>0</v>
      </c>
      <c r="C20" s="1">
        <f t="shared" si="1"/>
        <v>9</v>
      </c>
      <c r="D20" s="1">
        <f t="shared" si="1"/>
        <v>4</v>
      </c>
      <c r="E20" s="1">
        <f t="shared" si="1"/>
        <v>1</v>
      </c>
      <c r="F20" s="1">
        <f t="shared" si="1"/>
        <v>9</v>
      </c>
    </row>
    <row r="21" spans="1:6" x14ac:dyDescent="0.2">
      <c r="B21" s="1">
        <f t="shared" si="1"/>
        <v>4</v>
      </c>
      <c r="C21" s="1">
        <f t="shared" si="1"/>
        <v>4</v>
      </c>
      <c r="D21" s="1">
        <f t="shared" si="1"/>
        <v>9</v>
      </c>
      <c r="E21" s="1">
        <f t="shared" si="1"/>
        <v>4</v>
      </c>
      <c r="F21" s="6">
        <f t="shared" si="1"/>
        <v>0</v>
      </c>
    </row>
    <row r="23" spans="1:6" x14ac:dyDescent="0.2">
      <c r="A23" s="3" t="s">
        <v>15</v>
      </c>
      <c r="B23" s="5">
        <f>SUM(B17:F21)</f>
        <v>75</v>
      </c>
    </row>
  </sheetData>
  <mergeCells count="5">
    <mergeCell ref="B1:F1"/>
    <mergeCell ref="H1:I1"/>
    <mergeCell ref="K2:O2"/>
    <mergeCell ref="B9:F9"/>
    <mergeCell ref="B16:F1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F0F3-BE2F-834B-9058-5EAAB8984C87}">
  <dimension ref="A1:O23"/>
  <sheetViews>
    <sheetView tabSelected="1" zoomScale="140" zoomScaleNormal="140" workbookViewId="0">
      <selection activeCell="F21" sqref="F21"/>
    </sheetView>
  </sheetViews>
  <sheetFormatPr baseColWidth="10" defaultRowHeight="16" x14ac:dyDescent="0.2"/>
  <cols>
    <col min="2" max="2" width="6.6640625" customWidth="1"/>
    <col min="3" max="6" width="5" customWidth="1"/>
    <col min="8" max="9" width="5.6640625" customWidth="1"/>
    <col min="10" max="10" width="7.33203125" customWidth="1"/>
    <col min="11" max="15" width="4.33203125" customWidth="1"/>
  </cols>
  <sheetData>
    <row r="1" spans="1:15" x14ac:dyDescent="0.2">
      <c r="B1" s="7" t="s">
        <v>10</v>
      </c>
      <c r="C1" s="7"/>
      <c r="D1" s="7"/>
      <c r="E1" s="7"/>
      <c r="F1" s="7"/>
      <c r="H1" s="7" t="s">
        <v>11</v>
      </c>
      <c r="I1" s="7"/>
    </row>
    <row r="2" spans="1:15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2" t="s">
        <v>16</v>
      </c>
      <c r="I2" s="2" t="s">
        <v>17</v>
      </c>
      <c r="K2" s="7" t="s">
        <v>12</v>
      </c>
      <c r="L2" s="7"/>
      <c r="M2" s="7"/>
      <c r="N2" s="7"/>
      <c r="O2" s="7"/>
    </row>
    <row r="3" spans="1:15" x14ac:dyDescent="0.2">
      <c r="A3" s="4" t="s">
        <v>5</v>
      </c>
      <c r="B3" s="1">
        <v>5</v>
      </c>
      <c r="C3" s="1">
        <v>2</v>
      </c>
      <c r="D3" s="1">
        <v>4</v>
      </c>
      <c r="E3" s="1">
        <v>4</v>
      </c>
      <c r="F3" s="1">
        <v>3</v>
      </c>
      <c r="G3" s="4" t="s">
        <v>5</v>
      </c>
      <c r="H3" s="1">
        <v>2</v>
      </c>
      <c r="I3" s="1">
        <v>1.8</v>
      </c>
      <c r="K3" s="2" t="s">
        <v>0</v>
      </c>
      <c r="L3" s="2" t="s">
        <v>1</v>
      </c>
      <c r="M3" s="2" t="s">
        <v>2</v>
      </c>
      <c r="N3" s="2" t="s">
        <v>3</v>
      </c>
      <c r="O3" s="2" t="s">
        <v>4</v>
      </c>
    </row>
    <row r="4" spans="1:15" x14ac:dyDescent="0.2">
      <c r="A4" s="4" t="s">
        <v>6</v>
      </c>
      <c r="B4" s="1">
        <v>3</v>
      </c>
      <c r="C4" s="1">
        <v>1</v>
      </c>
      <c r="D4" s="1">
        <v>2</v>
      </c>
      <c r="E4" s="1">
        <v>4</v>
      </c>
      <c r="F4" s="1">
        <v>1</v>
      </c>
      <c r="G4" s="4" t="s">
        <v>6</v>
      </c>
      <c r="H4" s="1">
        <v>1.3</v>
      </c>
      <c r="I4" s="1">
        <v>1.2</v>
      </c>
      <c r="J4" s="4" t="s">
        <v>16</v>
      </c>
      <c r="K4" s="1">
        <v>1.1000000000000001</v>
      </c>
      <c r="L4" s="1">
        <v>0.7</v>
      </c>
      <c r="M4" s="1">
        <v>1.3</v>
      </c>
      <c r="N4" s="1">
        <v>1</v>
      </c>
      <c r="O4" s="1">
        <v>0.4</v>
      </c>
    </row>
    <row r="5" spans="1:15" x14ac:dyDescent="0.2">
      <c r="A5" s="4" t="s">
        <v>7</v>
      </c>
      <c r="B5" s="1">
        <v>2</v>
      </c>
      <c r="C5" s="1"/>
      <c r="D5" s="1">
        <v>3</v>
      </c>
      <c r="E5" s="1">
        <v>1</v>
      </c>
      <c r="F5" s="1">
        <v>4</v>
      </c>
      <c r="G5" s="4" t="s">
        <v>7</v>
      </c>
      <c r="H5" s="1">
        <v>1</v>
      </c>
      <c r="I5" s="1">
        <v>1.1000000000000001</v>
      </c>
      <c r="J5" s="4" t="s">
        <v>17</v>
      </c>
      <c r="K5" s="1">
        <v>0.8</v>
      </c>
      <c r="L5" s="1">
        <v>0.9</v>
      </c>
      <c r="M5" s="1">
        <v>0.8</v>
      </c>
      <c r="N5" s="1">
        <v>0.9</v>
      </c>
      <c r="O5" s="1">
        <v>1.5</v>
      </c>
    </row>
    <row r="6" spans="1:15" x14ac:dyDescent="0.2">
      <c r="A6" s="4" t="s">
        <v>8</v>
      </c>
      <c r="B6" s="1">
        <v>2</v>
      </c>
      <c r="C6" s="1">
        <v>5</v>
      </c>
      <c r="D6" s="1">
        <v>4</v>
      </c>
      <c r="E6" s="1">
        <v>3</v>
      </c>
      <c r="F6" s="1">
        <v>5</v>
      </c>
      <c r="G6" s="4" t="s">
        <v>8</v>
      </c>
      <c r="H6" s="1">
        <v>1.4</v>
      </c>
      <c r="I6" s="1">
        <v>2.2999999999999998</v>
      </c>
    </row>
    <row r="7" spans="1:15" x14ac:dyDescent="0.2">
      <c r="A7" s="4" t="s">
        <v>9</v>
      </c>
      <c r="B7" s="1">
        <v>4</v>
      </c>
      <c r="C7" s="1">
        <v>4</v>
      </c>
      <c r="D7" s="1">
        <v>5</v>
      </c>
      <c r="E7" s="1">
        <v>4</v>
      </c>
      <c r="F7" s="1"/>
      <c r="G7" s="4" t="s">
        <v>9</v>
      </c>
      <c r="H7" s="1">
        <v>3</v>
      </c>
      <c r="I7" s="1">
        <v>0.5</v>
      </c>
    </row>
    <row r="9" spans="1:15" x14ac:dyDescent="0.2">
      <c r="B9" s="7" t="s">
        <v>13</v>
      </c>
      <c r="C9" s="7"/>
      <c r="D9" s="7"/>
      <c r="E9" s="7"/>
      <c r="F9" s="7"/>
    </row>
    <row r="10" spans="1:15" x14ac:dyDescent="0.2">
      <c r="B10" s="1" cm="1">
        <f t="array" ref="B10:F14">MMULT(H3:I7,K4:O5)</f>
        <v>3.6400000000000006</v>
      </c>
      <c r="C10" s="1">
        <v>3.02</v>
      </c>
      <c r="D10" s="1">
        <v>4.04</v>
      </c>
      <c r="E10" s="1">
        <v>3.62</v>
      </c>
      <c r="F10" s="1">
        <v>3.5</v>
      </c>
    </row>
    <row r="11" spans="1:15" x14ac:dyDescent="0.2">
      <c r="B11" s="1">
        <v>2.39</v>
      </c>
      <c r="C11" s="1">
        <v>1.99</v>
      </c>
      <c r="D11" s="1">
        <v>2.6500000000000004</v>
      </c>
      <c r="E11" s="1">
        <v>2.38</v>
      </c>
      <c r="F11" s="1">
        <v>2.3199999999999998</v>
      </c>
    </row>
    <row r="12" spans="1:15" x14ac:dyDescent="0.2">
      <c r="B12" s="1">
        <v>1.9800000000000002</v>
      </c>
      <c r="C12" s="6">
        <v>1.69</v>
      </c>
      <c r="D12" s="1">
        <v>2.1800000000000002</v>
      </c>
      <c r="E12" s="1">
        <v>1.9900000000000002</v>
      </c>
      <c r="F12" s="1">
        <v>2.0500000000000003</v>
      </c>
    </row>
    <row r="13" spans="1:15" x14ac:dyDescent="0.2">
      <c r="B13" s="1">
        <v>3.38</v>
      </c>
      <c r="C13" s="1">
        <v>3.05</v>
      </c>
      <c r="D13" s="1">
        <v>3.6599999999999997</v>
      </c>
      <c r="E13" s="1">
        <v>3.4699999999999998</v>
      </c>
      <c r="F13" s="1">
        <v>4.01</v>
      </c>
    </row>
    <row r="14" spans="1:15" x14ac:dyDescent="0.2">
      <c r="B14" s="1">
        <v>3.7</v>
      </c>
      <c r="C14" s="1">
        <v>2.5499999999999998</v>
      </c>
      <c r="D14" s="1">
        <v>4.3000000000000007</v>
      </c>
      <c r="E14" s="1">
        <v>3.45</v>
      </c>
      <c r="F14" s="6">
        <v>1.9500000000000002</v>
      </c>
    </row>
    <row r="16" spans="1:15" x14ac:dyDescent="0.2">
      <c r="B16" s="7" t="s">
        <v>14</v>
      </c>
      <c r="C16" s="7"/>
      <c r="D16" s="7"/>
      <c r="E16" s="7"/>
      <c r="F16" s="7"/>
    </row>
    <row r="17" spans="1:6" x14ac:dyDescent="0.2">
      <c r="B17" s="1">
        <f>IF(ISBLANK(B3), 0, (B3-B10)^2)</f>
        <v>1.8495999999999984</v>
      </c>
      <c r="C17" s="1">
        <f t="shared" ref="C17:F19" si="0">IF(ISBLANK(C3), 0, (C3-C10)^2)</f>
        <v>1.0404</v>
      </c>
      <c r="D17" s="1">
        <f t="shared" si="0"/>
        <v>1.6000000000000029E-3</v>
      </c>
      <c r="E17" s="1">
        <f t="shared" si="0"/>
        <v>0.14439999999999992</v>
      </c>
      <c r="F17" s="1">
        <f t="shared" si="0"/>
        <v>0.25</v>
      </c>
    </row>
    <row r="18" spans="1:6" x14ac:dyDescent="0.2">
      <c r="B18" s="1">
        <f>IF(ISBLANK(B4), 0, (B4-B11)^2)</f>
        <v>0.37209999999999988</v>
      </c>
      <c r="C18" s="1">
        <f t="shared" si="0"/>
        <v>0.98009999999999997</v>
      </c>
      <c r="D18" s="1">
        <f t="shared" si="0"/>
        <v>0.42250000000000049</v>
      </c>
      <c r="E18" s="1">
        <f t="shared" si="0"/>
        <v>2.6244000000000005</v>
      </c>
      <c r="F18" s="1">
        <f t="shared" si="0"/>
        <v>1.7423999999999995</v>
      </c>
    </row>
    <row r="19" spans="1:6" x14ac:dyDescent="0.2">
      <c r="B19" s="1">
        <f>IF(ISBLANK(B5), 0, (B5-B12)^2)</f>
        <v>3.9999999999999183E-4</v>
      </c>
      <c r="C19" s="6">
        <f t="shared" si="0"/>
        <v>0</v>
      </c>
      <c r="D19" s="1">
        <f t="shared" si="0"/>
        <v>0.67239999999999978</v>
      </c>
      <c r="E19" s="1">
        <f t="shared" si="0"/>
        <v>0.98010000000000042</v>
      </c>
      <c r="F19" s="1">
        <f t="shared" si="0"/>
        <v>3.8024999999999989</v>
      </c>
    </row>
    <row r="20" spans="1:6" x14ac:dyDescent="0.2">
      <c r="B20" s="1">
        <f>IF(ISBLANK(B6), 0, (B6-B13)^2)</f>
        <v>1.9043999999999996</v>
      </c>
      <c r="C20" s="1">
        <f t="shared" ref="C20:F20" si="1">IF(ISBLANK(C6), 0, (C6-C13)^2)</f>
        <v>3.8025000000000007</v>
      </c>
      <c r="D20" s="1">
        <f t="shared" si="1"/>
        <v>0.1156000000000002</v>
      </c>
      <c r="E20" s="1">
        <f t="shared" si="1"/>
        <v>0.22089999999999976</v>
      </c>
      <c r="F20" s="1">
        <f t="shared" si="1"/>
        <v>0.98010000000000042</v>
      </c>
    </row>
    <row r="21" spans="1:6" x14ac:dyDescent="0.2">
      <c r="B21" s="1">
        <f>IF(ISBLANK(B7), 0, (B7-B14)^2)</f>
        <v>8.99999999999999E-2</v>
      </c>
      <c r="C21" s="1">
        <f t="shared" ref="C21:F21" si="2">IF(ISBLANK(C7), 0, (C7-C14)^2)</f>
        <v>2.1025000000000005</v>
      </c>
      <c r="D21" s="1">
        <f t="shared" si="2"/>
        <v>0.48999999999999899</v>
      </c>
      <c r="E21" s="1">
        <f t="shared" si="2"/>
        <v>0.30249999999999982</v>
      </c>
      <c r="F21" s="6">
        <f t="shared" si="2"/>
        <v>0</v>
      </c>
    </row>
    <row r="23" spans="1:6" x14ac:dyDescent="0.2">
      <c r="A23" s="3" t="s">
        <v>15</v>
      </c>
      <c r="B23" s="5">
        <f>SUM(B17:F21)</f>
        <v>24.891399999999997</v>
      </c>
    </row>
  </sheetData>
  <mergeCells count="5">
    <mergeCell ref="B1:F1"/>
    <mergeCell ref="H1:I1"/>
    <mergeCell ref="K2:O2"/>
    <mergeCell ref="B9:F9"/>
    <mergeCell ref="B16:F16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Knobbe</dc:creator>
  <cp:lastModifiedBy>Arno Knobbe</cp:lastModifiedBy>
  <cp:lastPrinted>2024-09-10T12:58:53Z</cp:lastPrinted>
  <dcterms:created xsi:type="dcterms:W3CDTF">2024-06-05T13:13:58Z</dcterms:created>
  <dcterms:modified xsi:type="dcterms:W3CDTF">2025-09-10T13:41:31Z</dcterms:modified>
</cp:coreProperties>
</file>