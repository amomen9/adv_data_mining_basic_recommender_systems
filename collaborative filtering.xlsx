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noknobbe/Git/newdocs/AiDM/slides/Week 2 recommender systems/"/>
    </mc:Choice>
  </mc:AlternateContent>
  <xr:revisionPtr revIDLastSave="0" documentId="13_ncr:1_{80F5B67A-1515-2F4A-87A1-595283D42BFE}" xr6:coauthVersionLast="47" xr6:coauthVersionMax="47" xr10:uidLastSave="{00000000-0000-0000-0000-000000000000}"/>
  <bookViews>
    <workbookView xWindow="0" yWindow="500" windowWidth="25600" windowHeight="15500" activeTab="1" xr2:uid="{0C18006D-8FD8-8D4F-A425-9E075315663B}"/>
  </bookViews>
  <sheets>
    <sheet name="data" sheetId="4" r:id="rId1"/>
    <sheet name="user-based" sheetId="2" r:id="rId2"/>
    <sheet name="item-base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3" l="1"/>
  <c r="D10" i="3"/>
  <c r="B10" i="3"/>
  <c r="K4" i="2"/>
  <c r="L3" i="2"/>
  <c r="L4" i="2"/>
  <c r="J3" i="2"/>
  <c r="K3" i="2" s="1"/>
  <c r="J5" i="2"/>
  <c r="L5" i="2" s="1"/>
  <c r="J6" i="2"/>
  <c r="L6" i="2" s="1"/>
  <c r="J7" i="2"/>
  <c r="K7" i="2" s="1"/>
  <c r="J2" i="2"/>
  <c r="C9" i="3"/>
  <c r="C11" i="3" s="1"/>
  <c r="E9" i="3"/>
  <c r="E11" i="3" s="1"/>
  <c r="F9" i="3"/>
  <c r="F11" i="3" s="1"/>
  <c r="G9" i="3"/>
  <c r="G11" i="3" s="1"/>
  <c r="H9" i="3"/>
  <c r="H10" i="3" s="1"/>
  <c r="B9" i="3"/>
  <c r="B11" i="3" s="1"/>
  <c r="L7" i="2" l="1"/>
  <c r="K6" i="2"/>
  <c r="G10" i="3"/>
  <c r="H11" i="3"/>
  <c r="K5" i="2"/>
  <c r="F10" i="3"/>
  <c r="E10" i="3"/>
  <c r="C10" i="3"/>
  <c r="I11" i="3"/>
  <c r="I10" i="3"/>
  <c r="K8" i="2"/>
  <c r="L8" i="2"/>
  <c r="D10" i="2" l="1"/>
  <c r="H13" i="3"/>
</calcChain>
</file>

<file path=xl/sharedStrings.xml><?xml version="1.0" encoding="utf-8"?>
<sst xmlns="http://schemas.openxmlformats.org/spreadsheetml/2006/main" count="53" uniqueCount="20">
  <si>
    <t xml:space="preserve"> ?</t>
  </si>
  <si>
    <t>user 1</t>
  </si>
  <si>
    <t>user 2</t>
  </si>
  <si>
    <t>user 3</t>
  </si>
  <si>
    <t>user 4</t>
  </si>
  <si>
    <t>user 5</t>
  </si>
  <si>
    <t>user 6</t>
  </si>
  <si>
    <t>item 1</t>
  </si>
  <si>
    <t>item 2</t>
  </si>
  <si>
    <t>item 3</t>
  </si>
  <si>
    <t>item 4</t>
  </si>
  <si>
    <t>item 5</t>
  </si>
  <si>
    <t>item 6</t>
  </si>
  <si>
    <t>item 7</t>
  </si>
  <si>
    <t>similarity</t>
  </si>
  <si>
    <t>sum:</t>
  </si>
  <si>
    <t>nearby</t>
  </si>
  <si>
    <t xml:space="preserve">r(u3, i3) = </t>
  </si>
  <si>
    <t>weight item 3 scores by similarity of nearby users</t>
  </si>
  <si>
    <t>weight user 3 by similarity of nearby 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</si>
</sst>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4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2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/>
    <xf numFmtId="2" fontId="0" fillId="0" borderId="1" xfId="0" applyNumberFormat="1" applyBorder="1"/>
    <xf numFmtId="0" fontId="0" fillId="0" borderId="0" xfId="0" applyAlignment="1">
      <alignment horizontal="right"/>
    </xf>
    <xf numFmtId="2" fontId="1" fillId="0" borderId="0" xfId="0" applyNumberFormat="1" applyFont="1"/>
    <xf numFmtId="0" fontId="0" fillId="5" borderId="0" xfId="0" applyFill="1" applyAlignment="1">
      <alignment horizontal="center"/>
    </xf>
    <xf numFmtId="2" fontId="0" fillId="0" borderId="2" xfId="0" applyNumberFormat="1" applyBorder="1"/>
    <xf numFmtId="2" fontId="0" fillId="6" borderId="0" xfId="0" applyNumberFormat="1" applyFill="1"/>
    <xf numFmtId="0" fontId="2" fillId="0" borderId="0" xfId="0" applyFont="1"/>
    <xf numFmtId="2" fontId="2" fillId="6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01E3F-3153-2B48-A2CB-490952014171}">
  <dimension ref="A1:O8"/>
  <sheetViews>
    <sheetView zoomScale="180" zoomScaleNormal="180" workbookViewId="0">
      <selection activeCell="G17" sqref="G17"/>
    </sheetView>
  </sheetViews>
  <sheetFormatPr baseColWidth="10" defaultRowHeight="16" x14ac:dyDescent="0.2"/>
  <cols>
    <col min="2" max="9" width="7.1640625" customWidth="1"/>
    <col min="10" max="10" width="12.6640625" customWidth="1"/>
    <col min="11" max="11" width="9.5" customWidth="1"/>
    <col min="12" max="12" width="10.83203125" style="4"/>
  </cols>
  <sheetData>
    <row r="1" spans="1:15" x14ac:dyDescent="0.2">
      <c r="B1" s="6" t="s">
        <v>7</v>
      </c>
      <c r="C1" s="6" t="s">
        <v>8</v>
      </c>
      <c r="D1" s="6" t="s">
        <v>9</v>
      </c>
      <c r="E1" s="6" t="s">
        <v>10</v>
      </c>
      <c r="F1" s="6" t="s">
        <v>11</v>
      </c>
      <c r="G1" s="6" t="s">
        <v>12</v>
      </c>
      <c r="H1" s="6" t="s">
        <v>13</v>
      </c>
      <c r="J1" s="6"/>
      <c r="K1" s="6"/>
      <c r="L1" s="9"/>
    </row>
    <row r="2" spans="1:15" x14ac:dyDescent="0.2">
      <c r="A2" s="6" t="s">
        <v>1</v>
      </c>
      <c r="B2" s="1">
        <v>5</v>
      </c>
      <c r="C2" s="1">
        <v>3</v>
      </c>
      <c r="D2" s="2"/>
      <c r="E2" s="1">
        <v>1</v>
      </c>
      <c r="F2" s="1">
        <v>3</v>
      </c>
      <c r="G2" s="1">
        <v>4</v>
      </c>
      <c r="H2" s="1"/>
      <c r="I2" s="5"/>
      <c r="J2" s="4"/>
      <c r="K2" s="4"/>
      <c r="O2" s="4"/>
    </row>
    <row r="3" spans="1:15" x14ac:dyDescent="0.2">
      <c r="A3" s="6" t="s">
        <v>2</v>
      </c>
      <c r="B3" s="1">
        <v>1</v>
      </c>
      <c r="C3" s="1">
        <v>3</v>
      </c>
      <c r="D3" s="2">
        <v>1</v>
      </c>
      <c r="E3" s="1">
        <v>1</v>
      </c>
      <c r="F3" s="1">
        <v>2</v>
      </c>
      <c r="G3" s="1">
        <v>3</v>
      </c>
      <c r="H3" s="1">
        <v>1</v>
      </c>
      <c r="I3" s="5"/>
      <c r="J3" s="4"/>
      <c r="K3" s="4"/>
    </row>
    <row r="4" spans="1:15" x14ac:dyDescent="0.2">
      <c r="A4" s="6" t="s">
        <v>3</v>
      </c>
      <c r="B4" s="2">
        <v>5</v>
      </c>
      <c r="C4" s="2">
        <v>1</v>
      </c>
      <c r="D4" s="3" t="s">
        <v>0</v>
      </c>
      <c r="E4" s="2">
        <v>4</v>
      </c>
      <c r="F4" s="2">
        <v>5</v>
      </c>
      <c r="G4" s="2"/>
      <c r="H4" s="2">
        <v>5</v>
      </c>
      <c r="I4" s="5"/>
      <c r="J4" s="4"/>
      <c r="K4" s="4"/>
    </row>
    <row r="5" spans="1:15" x14ac:dyDescent="0.2">
      <c r="A5" s="6" t="s">
        <v>4</v>
      </c>
      <c r="B5" s="1">
        <v>4</v>
      </c>
      <c r="C5" s="1">
        <v>1</v>
      </c>
      <c r="D5" s="2">
        <v>2</v>
      </c>
      <c r="E5" s="1">
        <v>1</v>
      </c>
      <c r="F5" s="1"/>
      <c r="G5" s="1"/>
      <c r="H5" s="1">
        <v>1</v>
      </c>
      <c r="I5" s="5"/>
      <c r="J5" s="4"/>
      <c r="K5" s="4"/>
    </row>
    <row r="6" spans="1:15" x14ac:dyDescent="0.2">
      <c r="A6" s="6" t="s">
        <v>5</v>
      </c>
      <c r="B6" s="1"/>
      <c r="C6" s="1">
        <v>5</v>
      </c>
      <c r="D6" s="2">
        <v>1</v>
      </c>
      <c r="E6" s="1">
        <v>1</v>
      </c>
      <c r="F6" s="1"/>
      <c r="G6" s="1">
        <v>4</v>
      </c>
      <c r="H6" s="1">
        <v>1</v>
      </c>
      <c r="I6" s="5"/>
      <c r="J6" s="4"/>
      <c r="K6" s="4"/>
    </row>
    <row r="7" spans="1:15" x14ac:dyDescent="0.2">
      <c r="A7" s="6" t="s">
        <v>6</v>
      </c>
      <c r="B7" s="1">
        <v>3</v>
      </c>
      <c r="C7" s="1">
        <v>1</v>
      </c>
      <c r="D7" s="2">
        <v>4</v>
      </c>
      <c r="E7" s="1">
        <v>2</v>
      </c>
      <c r="F7" s="1">
        <v>3</v>
      </c>
      <c r="G7" s="1">
        <v>1</v>
      </c>
      <c r="H7" s="1">
        <v>2</v>
      </c>
      <c r="I7" s="5"/>
      <c r="J7" s="4"/>
      <c r="K7" s="4"/>
    </row>
    <row r="8" spans="1:15" x14ac:dyDescent="0.2">
      <c r="J8" s="8"/>
      <c r="K8" s="4"/>
    </row>
  </sheetData>
  <conditionalFormatting sqref="J2:J7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4B915-0E9A-3C4C-85BF-441BB9F59B8F}">
  <dimension ref="A1:L10"/>
  <sheetViews>
    <sheetView tabSelected="1" zoomScale="130" zoomScaleNormal="130" workbookViewId="0">
      <selection activeCell="K2" sqref="K2"/>
    </sheetView>
  </sheetViews>
  <sheetFormatPr baseColWidth="10" defaultRowHeight="16" x14ac:dyDescent="0.2"/>
  <cols>
    <col min="2" max="9" width="7.1640625" customWidth="1"/>
    <col min="10" max="10" width="12.6640625" customWidth="1"/>
    <col min="11" max="11" width="9.5" customWidth="1"/>
    <col min="12" max="12" width="10.83203125" style="4"/>
  </cols>
  <sheetData>
    <row r="1" spans="1:12" x14ac:dyDescent="0.2">
      <c r="B1" s="6" t="s">
        <v>7</v>
      </c>
      <c r="C1" s="6" t="s">
        <v>8</v>
      </c>
      <c r="D1" s="6" t="s">
        <v>9</v>
      </c>
      <c r="E1" s="6" t="s">
        <v>10</v>
      </c>
      <c r="F1" s="6" t="s">
        <v>11</v>
      </c>
      <c r="G1" s="6" t="s">
        <v>12</v>
      </c>
      <c r="H1" s="6" t="s">
        <v>13</v>
      </c>
      <c r="J1" s="6" t="s">
        <v>14</v>
      </c>
      <c r="K1" s="6" t="s">
        <v>16</v>
      </c>
      <c r="L1" s="9" t="s">
        <v>9</v>
      </c>
    </row>
    <row r="2" spans="1:12" x14ac:dyDescent="0.2">
      <c r="A2" s="6" t="s">
        <v>1</v>
      </c>
      <c r="B2" s="1">
        <v>5</v>
      </c>
      <c r="C2" s="1">
        <v>3</v>
      </c>
      <c r="D2" s="1"/>
      <c r="E2" s="1">
        <v>1</v>
      </c>
      <c r="F2" s="1">
        <v>3</v>
      </c>
      <c r="G2" s="1">
        <v>4</v>
      </c>
      <c r="H2" s="1"/>
      <c r="I2" s="5"/>
      <c r="J2" s="4">
        <f>SUMPRODUCT(B$4:H$4, B2:H2)/(SQRT(SUMSQ(B2:H2))*SQRT(SUMSQ(B$4:H$4)))</f>
        <v>0.63259873491834451</v>
      </c>
      <c r="K2" s="4"/>
    </row>
    <row r="3" spans="1:12" x14ac:dyDescent="0.2">
      <c r="A3" s="6" t="s">
        <v>2</v>
      </c>
      <c r="B3" s="1">
        <v>1</v>
      </c>
      <c r="C3" s="1">
        <v>3</v>
      </c>
      <c r="D3" s="10">
        <v>1</v>
      </c>
      <c r="E3" s="1">
        <v>1</v>
      </c>
      <c r="F3" s="1">
        <v>2</v>
      </c>
      <c r="G3" s="1">
        <v>3</v>
      </c>
      <c r="H3" s="1">
        <v>1</v>
      </c>
      <c r="I3" s="5"/>
      <c r="J3" s="4">
        <f t="shared" ref="J3:J7" si="0">SUMPRODUCT(B$4:H$4, B3:H3)/(SQRT(SUMSQ(B3:H3))*SQRT(SUMSQ(B$4:H$4)))</f>
        <v>0.55205605357393328</v>
      </c>
      <c r="K3" s="4">
        <f t="shared" ref="K2:K7" si="1">IF(J3&gt;0.5, J3, "")</f>
        <v>0.55205605357393328</v>
      </c>
      <c r="L3" s="4">
        <f t="shared" ref="L3:L7" si="2">IF(J3&gt;0.45, J3*D3, "")</f>
        <v>0.55205605357393328</v>
      </c>
    </row>
    <row r="4" spans="1:12" x14ac:dyDescent="0.2">
      <c r="A4" s="6" t="s">
        <v>3</v>
      </c>
      <c r="B4" s="2">
        <v>5</v>
      </c>
      <c r="C4" s="2">
        <v>1</v>
      </c>
      <c r="D4" s="3" t="s">
        <v>0</v>
      </c>
      <c r="E4" s="2">
        <v>4</v>
      </c>
      <c r="F4" s="2">
        <v>5</v>
      </c>
      <c r="G4" s="2"/>
      <c r="H4" s="2">
        <v>5</v>
      </c>
      <c r="I4" s="5"/>
      <c r="J4" s="4"/>
      <c r="K4" s="4" t="str">
        <f t="shared" si="1"/>
        <v/>
      </c>
      <c r="L4" s="4" t="str">
        <f t="shared" si="2"/>
        <v/>
      </c>
    </row>
    <row r="5" spans="1:12" x14ac:dyDescent="0.2">
      <c r="A5" s="6" t="s">
        <v>4</v>
      </c>
      <c r="B5" s="1">
        <v>4</v>
      </c>
      <c r="C5" s="1">
        <v>1</v>
      </c>
      <c r="D5" s="10">
        <v>2</v>
      </c>
      <c r="E5" s="1">
        <v>1</v>
      </c>
      <c r="F5" s="1"/>
      <c r="G5" s="1"/>
      <c r="H5" s="1">
        <v>1</v>
      </c>
      <c r="I5" s="5"/>
      <c r="J5" s="4">
        <f t="shared" si="0"/>
        <v>0.65217391304347838</v>
      </c>
      <c r="K5" s="4">
        <f t="shared" si="1"/>
        <v>0.65217391304347838</v>
      </c>
      <c r="L5" s="4">
        <f t="shared" si="2"/>
        <v>1.3043478260869568</v>
      </c>
    </row>
    <row r="6" spans="1:12" x14ac:dyDescent="0.2">
      <c r="A6" s="6" t="s">
        <v>5</v>
      </c>
      <c r="B6" s="1"/>
      <c r="C6" s="1">
        <v>5</v>
      </c>
      <c r="D6" s="1">
        <v>1</v>
      </c>
      <c r="E6" s="1">
        <v>1</v>
      </c>
      <c r="F6" s="1"/>
      <c r="G6" s="1">
        <v>4</v>
      </c>
      <c r="H6" s="1">
        <v>1</v>
      </c>
      <c r="I6" s="5"/>
      <c r="J6" s="4">
        <f t="shared" si="0"/>
        <v>0.22004311471167604</v>
      </c>
      <c r="K6" s="4" t="str">
        <f t="shared" si="1"/>
        <v/>
      </c>
      <c r="L6" s="4" t="str">
        <f t="shared" si="2"/>
        <v/>
      </c>
    </row>
    <row r="7" spans="1:12" x14ac:dyDescent="0.2">
      <c r="A7" s="6" t="s">
        <v>6</v>
      </c>
      <c r="B7" s="1">
        <v>3</v>
      </c>
      <c r="C7" s="1">
        <v>1</v>
      </c>
      <c r="D7" s="10">
        <v>4</v>
      </c>
      <c r="E7" s="1">
        <v>2</v>
      </c>
      <c r="F7" s="1">
        <v>3</v>
      </c>
      <c r="G7" s="1">
        <v>1</v>
      </c>
      <c r="H7" s="1">
        <v>2</v>
      </c>
      <c r="I7" s="5"/>
      <c r="J7" s="4">
        <f t="shared" si="0"/>
        <v>0.77015090149086618</v>
      </c>
      <c r="K7" s="7">
        <f t="shared" si="1"/>
        <v>0.77015090149086618</v>
      </c>
      <c r="L7" s="7">
        <f t="shared" si="2"/>
        <v>3.0806036059634647</v>
      </c>
    </row>
    <row r="8" spans="1:12" x14ac:dyDescent="0.2">
      <c r="J8" s="8" t="s">
        <v>15</v>
      </c>
      <c r="K8" s="4">
        <f>SUM(K2:K7)</f>
        <v>1.9743808681082777</v>
      </c>
      <c r="L8" s="4">
        <f>SUM(L2:L7)</f>
        <v>4.9370074856243544</v>
      </c>
    </row>
    <row r="10" spans="1:12" x14ac:dyDescent="0.2">
      <c r="C10" s="13" t="s">
        <v>17</v>
      </c>
      <c r="D10" s="14">
        <f>L8/K8</f>
        <v>2.5005345044467897</v>
      </c>
      <c r="L10" s="4" t="s">
        <v>18</v>
      </c>
    </row>
  </sheetData>
  <conditionalFormatting sqref="J2:J7">
    <cfRule type="colorScale" priority="1">
      <colorScale>
        <cfvo type="min"/>
        <cfvo type="max"/>
        <color rgb="FFFCFCFF"/>
        <color rgb="FF63BE7B"/>
      </colorScale>
    </cfRule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AC141-846B-A54A-BFDE-E7907110A50D}">
  <dimension ref="A1:L14"/>
  <sheetViews>
    <sheetView zoomScale="150" zoomScaleNormal="150" workbookViewId="0">
      <selection activeCell="D4" sqref="D4"/>
    </sheetView>
  </sheetViews>
  <sheetFormatPr baseColWidth="10" defaultRowHeight="16" x14ac:dyDescent="0.2"/>
  <cols>
    <col min="2" max="6" width="7.1640625" customWidth="1"/>
    <col min="7" max="7" width="7" customWidth="1"/>
    <col min="8" max="9" width="7.1640625" customWidth="1"/>
    <col min="10" max="10" width="12.6640625" customWidth="1"/>
    <col min="11" max="11" width="9.5" customWidth="1"/>
    <col min="12" max="12" width="10.83203125" style="4"/>
  </cols>
  <sheetData>
    <row r="1" spans="1:12" x14ac:dyDescent="0.2">
      <c r="B1" s="6" t="s">
        <v>7</v>
      </c>
      <c r="C1" s="6" t="s">
        <v>8</v>
      </c>
      <c r="D1" s="6" t="s">
        <v>9</v>
      </c>
      <c r="E1" s="6" t="s">
        <v>10</v>
      </c>
      <c r="F1" s="6" t="s">
        <v>11</v>
      </c>
      <c r="G1" s="6" t="s">
        <v>12</v>
      </c>
      <c r="H1" s="6" t="s">
        <v>13</v>
      </c>
      <c r="J1" s="6"/>
      <c r="K1" s="6"/>
      <c r="L1" s="9"/>
    </row>
    <row r="2" spans="1:12" x14ac:dyDescent="0.2">
      <c r="A2" s="6" t="s">
        <v>1</v>
      </c>
      <c r="B2" s="1">
        <v>5</v>
      </c>
      <c r="C2" s="1">
        <v>3</v>
      </c>
      <c r="D2" s="2"/>
      <c r="E2" s="1">
        <v>1</v>
      </c>
      <c r="F2" s="1">
        <v>3</v>
      </c>
      <c r="G2" s="1">
        <v>4</v>
      </c>
      <c r="H2" s="1"/>
      <c r="I2" s="5"/>
      <c r="J2" s="4"/>
      <c r="K2" s="4"/>
    </row>
    <row r="3" spans="1:12" x14ac:dyDescent="0.2">
      <c r="A3" s="6" t="s">
        <v>2</v>
      </c>
      <c r="B3" s="1">
        <v>1</v>
      </c>
      <c r="C3" s="1">
        <v>3</v>
      </c>
      <c r="D3" s="2">
        <v>1</v>
      </c>
      <c r="E3" s="1">
        <v>1</v>
      </c>
      <c r="F3" s="1">
        <v>2</v>
      </c>
      <c r="G3" s="1">
        <v>3</v>
      </c>
      <c r="H3" s="1">
        <v>1</v>
      </c>
      <c r="I3" s="5"/>
      <c r="J3" s="4"/>
      <c r="K3" s="4"/>
    </row>
    <row r="4" spans="1:12" x14ac:dyDescent="0.2">
      <c r="A4" s="6" t="s">
        <v>3</v>
      </c>
      <c r="B4" s="10">
        <v>5</v>
      </c>
      <c r="C4" s="1">
        <v>1</v>
      </c>
      <c r="D4" s="3" t="s">
        <v>0</v>
      </c>
      <c r="E4" s="10">
        <v>4</v>
      </c>
      <c r="F4" s="1">
        <v>5</v>
      </c>
      <c r="G4" s="1"/>
      <c r="H4" s="1">
        <v>5</v>
      </c>
      <c r="I4" s="5"/>
      <c r="J4" s="4"/>
      <c r="K4" s="4"/>
    </row>
    <row r="5" spans="1:12" x14ac:dyDescent="0.2">
      <c r="A5" s="6" t="s">
        <v>4</v>
      </c>
      <c r="B5" s="1">
        <v>4</v>
      </c>
      <c r="C5" s="1">
        <v>1</v>
      </c>
      <c r="D5" s="2">
        <v>2</v>
      </c>
      <c r="E5" s="1">
        <v>1</v>
      </c>
      <c r="F5" s="1"/>
      <c r="G5" s="1"/>
      <c r="H5" s="1">
        <v>1</v>
      </c>
      <c r="I5" s="5"/>
      <c r="J5" s="4"/>
      <c r="K5" s="4"/>
    </row>
    <row r="6" spans="1:12" x14ac:dyDescent="0.2">
      <c r="A6" s="6" t="s">
        <v>5</v>
      </c>
      <c r="B6" s="1"/>
      <c r="C6" s="1">
        <v>5</v>
      </c>
      <c r="D6" s="2">
        <v>1</v>
      </c>
      <c r="E6" s="1">
        <v>1</v>
      </c>
      <c r="F6" s="1"/>
      <c r="G6" s="1">
        <v>4</v>
      </c>
      <c r="H6" s="1">
        <v>1</v>
      </c>
      <c r="I6" s="5"/>
      <c r="J6" s="4"/>
      <c r="K6" s="4"/>
    </row>
    <row r="7" spans="1:12" x14ac:dyDescent="0.2">
      <c r="A7" s="6" t="s">
        <v>6</v>
      </c>
      <c r="B7" s="1">
        <v>3</v>
      </c>
      <c r="C7" s="1">
        <v>1</v>
      </c>
      <c r="D7" s="2">
        <v>4</v>
      </c>
      <c r="E7" s="1">
        <v>2</v>
      </c>
      <c r="F7" s="1">
        <v>3</v>
      </c>
      <c r="G7" s="1">
        <v>1</v>
      </c>
      <c r="H7" s="1">
        <v>2</v>
      </c>
      <c r="I7" s="5"/>
      <c r="J7" s="4"/>
      <c r="K7" s="4"/>
    </row>
    <row r="8" spans="1:12" x14ac:dyDescent="0.2">
      <c r="J8" s="8"/>
      <c r="K8" s="4"/>
    </row>
    <row r="9" spans="1:12" x14ac:dyDescent="0.2">
      <c r="A9" s="6" t="s">
        <v>14</v>
      </c>
      <c r="B9" s="4">
        <f>SUMPRODUCT($D2:$D7, B2:B7)/(SQRT(SUMSQ(B2:B7))*SQRT(SUMSQ($D2:$D7)))</f>
        <v>0.51357178744674437</v>
      </c>
      <c r="C9" s="4">
        <f>SUMPRODUCT($D2:$D7, C2:C7)/(SQRT(SUMSQ(C2:C7))*SQRT(SUMSQ($D2:$D7)))</f>
        <v>0.44008622942335202</v>
      </c>
      <c r="D9" s="4"/>
      <c r="E9" s="4">
        <f>SUMPRODUCT($D2:$D7, E2:E7)/(SQRT(SUMSQ(E2:E7))*SQRT(SUMSQ($D2:$D7)))</f>
        <v>0.5222329678670935</v>
      </c>
      <c r="F9" s="4">
        <f>SUMPRODUCT($D2:$D7, F2:F7)/(SQRT(SUMSQ(F2:F7))*SQRT(SUMSQ($D2:$D7)))</f>
        <v>0.43537928949978605</v>
      </c>
      <c r="G9" s="4">
        <f>SUMPRODUCT($D2:$D7, G2:G7)/(SQRT(SUMSQ(G2:G7))*SQRT(SUMSQ($D2:$D7)))</f>
        <v>0.36187343222787294</v>
      </c>
      <c r="H9" s="4">
        <f>SUMPRODUCT($D2:$D7, H2:H7)/(SQRT(SUMSQ(H2:H7))*SQRT(SUMSQ($D2:$D7)))</f>
        <v>0.45226701686664539</v>
      </c>
      <c r="I9" s="4"/>
    </row>
    <row r="10" spans="1:12" x14ac:dyDescent="0.2">
      <c r="A10" s="6" t="s">
        <v>16</v>
      </c>
      <c r="B10" s="4">
        <f>IF(B9&gt;0.5, B9, "")</f>
        <v>0.51357178744674437</v>
      </c>
      <c r="C10" s="4" t="str">
        <f t="shared" ref="C10:H10" si="0">IF(C9&gt;0.5, C9, "")</f>
        <v/>
      </c>
      <c r="D10" s="4" t="str">
        <f t="shared" si="0"/>
        <v/>
      </c>
      <c r="E10" s="4">
        <f t="shared" si="0"/>
        <v>0.5222329678670935</v>
      </c>
      <c r="F10" s="4" t="str">
        <f t="shared" si="0"/>
        <v/>
      </c>
      <c r="G10" s="4" t="str">
        <f t="shared" si="0"/>
        <v/>
      </c>
      <c r="H10" s="4" t="str">
        <f t="shared" si="0"/>
        <v/>
      </c>
      <c r="I10" s="11">
        <f>SUM(B10:H10)</f>
        <v>1.0358047553138379</v>
      </c>
    </row>
    <row r="11" spans="1:12" x14ac:dyDescent="0.2">
      <c r="A11" s="6" t="s">
        <v>3</v>
      </c>
      <c r="B11" s="4">
        <f>IF(B9&gt;0.5, B4*B9, "")</f>
        <v>2.5678589372337219</v>
      </c>
      <c r="C11" s="4" t="str">
        <f t="shared" ref="C11:H11" si="1">IF(C9&gt;0.5, C4*C9, "")</f>
        <v/>
      </c>
      <c r="D11" s="4" t="str">
        <f t="shared" si="1"/>
        <v/>
      </c>
      <c r="E11" s="4">
        <f t="shared" si="1"/>
        <v>2.088931871468374</v>
      </c>
      <c r="F11" s="4" t="str">
        <f t="shared" si="1"/>
        <v/>
      </c>
      <c r="G11" s="4" t="str">
        <f t="shared" si="1"/>
        <v/>
      </c>
      <c r="H11" s="4" t="str">
        <f t="shared" si="1"/>
        <v/>
      </c>
      <c r="I11" s="11">
        <f>SUM(B11:H11)</f>
        <v>4.6567908087020964</v>
      </c>
    </row>
    <row r="13" spans="1:12" x14ac:dyDescent="0.2">
      <c r="G13" s="8" t="s">
        <v>17</v>
      </c>
      <c r="H13" s="12">
        <f>I11/I10</f>
        <v>4.495819105687672</v>
      </c>
    </row>
    <row r="14" spans="1:12" x14ac:dyDescent="0.2">
      <c r="B14" t="s">
        <v>19</v>
      </c>
    </row>
  </sheetData>
  <conditionalFormatting sqref="B9:H9">
    <cfRule type="colorScale" priority="1">
      <colorScale>
        <cfvo type="min"/>
        <cfvo type="max"/>
        <color rgb="FFFCFCFF"/>
        <color rgb="FF63BE7B"/>
      </colorScale>
    </cfRule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2:J7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user-based</vt:lpstr>
      <vt:lpstr>item-based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Arno Knobbe</dc:creator>
  <cp:lastModifiedBy>Arno Knobbe</cp:lastModifiedBy>
  <dcterms:created xsi:type="dcterms:W3CDTF">2024-06-05T08:41:07Z</dcterms:created>
  <dcterms:modified xsi:type="dcterms:W3CDTF">2025-09-10T13:29:27Z</dcterms:modified>
</cp:coreProperties>
</file>